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ЕОЭС\КСК Торг\расчеты инвойса\ФасадКерамика – 8 (016017018)\"/>
    </mc:Choice>
  </mc:AlternateContent>
  <bookViews>
    <workbookView xWindow="0" yWindow="0" windowWidth="28800" windowHeight="1233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N8" i="1" l="1"/>
  <c r="L7" i="1"/>
  <c r="L12" i="1"/>
  <c r="L5" i="1"/>
  <c r="L6" i="1"/>
  <c r="L9" i="1"/>
  <c r="H3" i="1" l="1"/>
  <c r="G3" i="1"/>
  <c r="E5" i="1" l="1"/>
  <c r="E6" i="1"/>
  <c r="E7" i="1"/>
  <c r="E8" i="1"/>
  <c r="E9" i="1"/>
  <c r="E10" i="1"/>
  <c r="E11" i="1"/>
  <c r="E12" i="1"/>
  <c r="E4" i="1"/>
  <c r="F5" i="1" l="1"/>
  <c r="K5" i="1"/>
  <c r="F6" i="1"/>
  <c r="K6" i="1"/>
  <c r="F7" i="1"/>
  <c r="K7" i="1"/>
  <c r="F8" i="1"/>
  <c r="K8" i="1"/>
  <c r="F9" i="1"/>
  <c r="K9" i="1"/>
  <c r="F10" i="1"/>
  <c r="K10" i="1"/>
  <c r="F11" i="1"/>
  <c r="K11" i="1"/>
  <c r="F12" i="1"/>
  <c r="K12" i="1"/>
  <c r="C13" i="1" l="1"/>
  <c r="K4" i="1"/>
  <c r="K13" i="1" l="1"/>
  <c r="E13" i="1" l="1"/>
  <c r="F4" i="1"/>
  <c r="J8" i="1" l="1"/>
  <c r="I5" i="1"/>
  <c r="G6" i="1"/>
  <c r="I7" i="1"/>
  <c r="G8" i="1"/>
  <c r="I9" i="1"/>
  <c r="G10" i="1"/>
  <c r="I11" i="1"/>
  <c r="G12" i="1"/>
  <c r="J5" i="1"/>
  <c r="J7" i="1"/>
  <c r="J9" i="1"/>
  <c r="J11" i="1"/>
  <c r="G5" i="1"/>
  <c r="I6" i="1"/>
  <c r="G7" i="1"/>
  <c r="I8" i="1"/>
  <c r="G9" i="1"/>
  <c r="I10" i="1"/>
  <c r="G11" i="1"/>
  <c r="I12" i="1"/>
  <c r="J6" i="1"/>
  <c r="J10" i="1"/>
  <c r="J12" i="1"/>
  <c r="J4" i="1"/>
  <c r="I4" i="1"/>
  <c r="F13" i="1"/>
  <c r="G4" i="1"/>
  <c r="H6" i="1" l="1"/>
  <c r="M6" i="1" s="1"/>
  <c r="H8" i="1"/>
  <c r="M8" i="1" s="1"/>
  <c r="H10" i="1"/>
  <c r="L10" i="1" s="1"/>
  <c r="M10" i="1" s="1"/>
  <c r="H12" i="1"/>
  <c r="H5" i="1"/>
  <c r="H7" i="1"/>
  <c r="M7" i="1" s="1"/>
  <c r="H9" i="1"/>
  <c r="M9" i="1" s="1"/>
  <c r="H11" i="1"/>
  <c r="L11" i="1" s="1"/>
  <c r="M11" i="1" s="1"/>
  <c r="H4" i="1"/>
  <c r="I13" i="1"/>
  <c r="J13" i="1"/>
  <c r="G13" i="1"/>
  <c r="M12" i="1" l="1"/>
  <c r="L4" i="1"/>
  <c r="M4" i="1" s="1"/>
  <c r="M5" i="1"/>
  <c r="H13" i="1"/>
  <c r="E15" i="1" s="1"/>
  <c r="M13" i="1" l="1"/>
  <c r="M18" i="1" s="1"/>
  <c r="M16" i="1" l="1"/>
</calcChain>
</file>

<file path=xl/comments1.xml><?xml version="1.0" encoding="utf-8"?>
<comments xmlns="http://schemas.openxmlformats.org/spreadsheetml/2006/main">
  <authors>
    <author>Пешкур Виталий Евгеньевич</author>
  </authors>
  <commentList>
    <comment ref="I2" authorId="0" shapeId="0">
      <text>
        <r>
          <rPr>
            <b/>
            <sz val="9"/>
            <color indexed="81"/>
            <rFont val="Tahoma"/>
            <family val="2"/>
            <charset val="204"/>
          </rPr>
          <t>Пешкур Виталий Евгеньевич:</t>
        </r>
        <r>
          <rPr>
            <sz val="9"/>
            <color indexed="81"/>
            <rFont val="Tahoma"/>
            <family val="2"/>
            <charset val="204"/>
          </rPr>
          <t xml:space="preserve">
брокерские,  почтовые и прочие расходы по согласованию сторон</t>
        </r>
      </text>
    </comment>
  </commentList>
</comments>
</file>

<file path=xl/sharedStrings.xml><?xml version="1.0" encoding="utf-8"?>
<sst xmlns="http://schemas.openxmlformats.org/spreadsheetml/2006/main" count="28" uniqueCount="26">
  <si>
    <t>Цена</t>
  </si>
  <si>
    <t>сумма</t>
  </si>
  <si>
    <t>Пин</t>
  </si>
  <si>
    <t>Наименование</t>
  </si>
  <si>
    <t>Количество</t>
  </si>
  <si>
    <t>Данные поставщка</t>
  </si>
  <si>
    <t>Комиссия</t>
  </si>
  <si>
    <t>Транспорт</t>
  </si>
  <si>
    <t>Прочее</t>
  </si>
  <si>
    <t>КСК ТОРГ</t>
  </si>
  <si>
    <t>ИТОГО</t>
  </si>
  <si>
    <t>Для Инвойса КСК Торг</t>
  </si>
  <si>
    <t>Кол-во</t>
  </si>
  <si>
    <t>Сумма</t>
  </si>
  <si>
    <t>Контрольная сумма</t>
  </si>
  <si>
    <t>Отклонение контрольной суммы от суммы инвойса</t>
  </si>
  <si>
    <t>Коррект. контр.суммы</t>
  </si>
  <si>
    <t>Банковские расходы</t>
  </si>
  <si>
    <t>Backsteinriemchen 365/52/10 LF Buxtehude Kohle Schieferstruktur mit K-Kante</t>
  </si>
  <si>
    <t xml:space="preserve">Bodenkeramik 240/240/12 Obj. Braun (neue Packw. 12 St pro Pak) </t>
  </si>
  <si>
    <t>Florent. Eckstufe 345/345/14 Nordkap I.</t>
  </si>
  <si>
    <t>Eckriemchen 240/115/71/10 beige genarbt I.</t>
  </si>
  <si>
    <t xml:space="preserve">Florentiner Stufe 335/310/10 Schiefergrau I. </t>
  </si>
  <si>
    <t>Backsteinriemchen 240/71/10 Dresden Noir glatt</t>
  </si>
  <si>
    <t>Bodenkeramik 240/115/10 Malta I.</t>
  </si>
  <si>
    <t>Klinkerriemchen 250/65/14 Perlmutt längsgefräst schieferstruktur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</si>
</sst>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0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9" fontId="3" fillId="0" borderId="0" applyFont="0" applyFill="0" applyBorder="0" applyAlignment="0" applyProtection="0"/>
  </cellStyleXfs>
  <cellXfs count="26"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4" fontId="0" fillId="0" borderId="0" xfId="0" applyNumberFormat="1" applyAlignment="1">
      <alignment vertical="top"/>
    </xf>
    <xf numFmtId="4" fontId="4" fillId="0" borderId="1" xfId="0" applyNumberFormat="1" applyFont="1" applyBorder="1" applyAlignment="1">
      <alignment vertical="top"/>
    </xf>
    <xf numFmtId="4" fontId="0" fillId="4" borderId="1" xfId="0" applyNumberFormat="1" applyFill="1" applyBorder="1" applyAlignment="1">
      <alignment vertical="top"/>
    </xf>
    <xf numFmtId="10" fontId="0" fillId="4" borderId="1" xfId="2" applyNumberFormat="1" applyFont="1" applyFill="1" applyBorder="1" applyAlignment="1">
      <alignment vertical="top"/>
    </xf>
    <xf numFmtId="0" fontId="1" fillId="0" borderId="0" xfId="0" applyFont="1" applyAlignment="1">
      <alignment vertical="top"/>
    </xf>
    <xf numFmtId="4" fontId="0" fillId="5" borderId="0" xfId="0" applyNumberFormat="1" applyFill="1" applyAlignment="1">
      <alignment vertical="top"/>
    </xf>
    <xf numFmtId="0" fontId="0" fillId="0" borderId="0" xfId="0" applyAlignment="1">
      <alignment vertical="top" wrapText="1"/>
    </xf>
    <xf numFmtId="4" fontId="0" fillId="4" borderId="1" xfId="0" applyNumberFormat="1" applyFill="1" applyBorder="1" applyAlignment="1">
      <alignment horizontal="center" vertical="top" wrapText="1"/>
    </xf>
    <xf numFmtId="4" fontId="1" fillId="4" borderId="1" xfId="0" applyNumberFormat="1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/>
    </xf>
    <xf numFmtId="4" fontId="4" fillId="3" borderId="1" xfId="0" applyNumberFormat="1" applyFont="1" applyFill="1" applyBorder="1" applyAlignment="1">
      <alignment horizontal="center" vertical="top"/>
    </xf>
    <xf numFmtId="0" fontId="0" fillId="6" borderId="1" xfId="0" applyFont="1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2" fontId="0" fillId="0" borderId="1" xfId="0" applyNumberFormat="1" applyFont="1" applyFill="1" applyBorder="1" applyAlignment="1">
      <alignment wrapText="1"/>
    </xf>
    <xf numFmtId="2" fontId="0" fillId="6" borderId="1" xfId="0" applyNumberFormat="1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1" fontId="0" fillId="0" borderId="1" xfId="0" applyNumberFormat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4" fontId="0" fillId="4" borderId="1" xfId="0" applyNumberForma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 wrapText="1"/>
    </xf>
    <xf numFmtId="4" fontId="4" fillId="5" borderId="0" xfId="0" applyNumberFormat="1" applyFont="1" applyFill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4" fontId="1" fillId="5" borderId="1" xfId="0" applyNumberFormat="1" applyFont="1" applyFill="1" applyBorder="1" applyAlignment="1">
      <alignment horizontal="center" vertical="top"/>
    </xf>
  </cellXfs>
  <cellStyles count="3">
    <cellStyle name="Обычный" xfId="0" builtinId="0"/>
    <cellStyle name="Обычный 7 2" xfId="1"/>
    <cellStyle name="Процентный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Q18"/>
  <sheetViews>
    <sheetView tabSelected="1" zoomScale="77" zoomScaleNormal="77" workbookViewId="0">
      <selection activeCell="O16" sqref="O16"/>
    </sheetView>
  </sheetViews>
  <sheetFormatPr defaultRowHeight="12.75" outlineLevelRow="1" outlineLevelCol="1" x14ac:dyDescent="0.2"/>
  <cols>
    <col min="1" max="1" width="27" customWidth="1"/>
    <col min="2" max="2" width="41" bestFit="1" customWidth="1"/>
    <col min="3" max="3" width="14.85546875" customWidth="1" outlineLevel="1"/>
    <col min="4" max="4" width="12.140625" style="2" customWidth="1" outlineLevel="1"/>
    <col min="5" max="5" width="14.42578125" style="2" customWidth="1" outlineLevel="1"/>
    <col min="6" max="9" width="13.5703125" style="2" customWidth="1" outlineLevel="1"/>
    <col min="10" max="10" width="13.28515625" style="2" customWidth="1" outlineLevel="1"/>
    <col min="12" max="12" width="9.140625" style="2"/>
    <col min="13" max="13" width="11" style="2" customWidth="1"/>
    <col min="16" max="16" width="9.140625" customWidth="1"/>
  </cols>
  <sheetData>
    <row r="1" spans="1:17" x14ac:dyDescent="0.2">
      <c r="A1" s="1"/>
      <c r="B1" s="1"/>
      <c r="C1" s="21" t="s">
        <v>5</v>
      </c>
      <c r="D1" s="21"/>
      <c r="E1" s="21"/>
      <c r="F1" s="20" t="s">
        <v>9</v>
      </c>
      <c r="G1" s="20"/>
      <c r="H1" s="20"/>
      <c r="I1" s="20"/>
      <c r="J1" s="20"/>
      <c r="K1" s="23" t="s">
        <v>11</v>
      </c>
      <c r="L1" s="23"/>
      <c r="M1" s="23"/>
    </row>
    <row r="2" spans="1:17" s="8" customFormat="1" ht="32.25" customHeight="1" x14ac:dyDescent="0.2">
      <c r="A2" s="19" t="s">
        <v>2</v>
      </c>
      <c r="B2" s="19" t="s">
        <v>3</v>
      </c>
      <c r="C2" s="21"/>
      <c r="D2" s="21"/>
      <c r="E2" s="21"/>
      <c r="F2" s="9" t="s">
        <v>6</v>
      </c>
      <c r="G2" s="9" t="s">
        <v>7</v>
      </c>
      <c r="H2" s="10" t="s">
        <v>17</v>
      </c>
      <c r="I2" s="9" t="s">
        <v>8</v>
      </c>
      <c r="J2" s="10" t="s">
        <v>16</v>
      </c>
      <c r="K2" s="24" t="s">
        <v>12</v>
      </c>
      <c r="L2" s="25" t="s">
        <v>0</v>
      </c>
      <c r="M2" s="25" t="s">
        <v>13</v>
      </c>
    </row>
    <row r="3" spans="1:17" x14ac:dyDescent="0.2">
      <c r="A3" s="19"/>
      <c r="B3" s="19"/>
      <c r="C3" s="11" t="s">
        <v>4</v>
      </c>
      <c r="D3" s="12" t="s">
        <v>0</v>
      </c>
      <c r="E3" s="12" t="s">
        <v>1</v>
      </c>
      <c r="F3" s="5">
        <v>0.05</v>
      </c>
      <c r="G3" s="4">
        <f>6300*3</f>
        <v>18900</v>
      </c>
      <c r="H3" s="4">
        <f>(E13*0.2%+20)+40+40+40</f>
        <v>218.44978200000003</v>
      </c>
      <c r="I3" s="4">
        <v>0</v>
      </c>
      <c r="J3" s="4">
        <v>0</v>
      </c>
      <c r="K3" s="24"/>
      <c r="L3" s="25"/>
      <c r="M3" s="25"/>
    </row>
    <row r="4" spans="1:17" ht="25.5" x14ac:dyDescent="0.2">
      <c r="A4" s="18">
        <v>821042123112</v>
      </c>
      <c r="B4" s="17" t="s">
        <v>18</v>
      </c>
      <c r="C4" s="14">
        <v>96.8</v>
      </c>
      <c r="D4" s="15">
        <v>15</v>
      </c>
      <c r="E4" s="2">
        <f>C4*D4</f>
        <v>1452</v>
      </c>
      <c r="F4" s="2">
        <f>ROUND(E4*F$3,2)</f>
        <v>72.599999999999994</v>
      </c>
      <c r="G4" s="2">
        <f t="shared" ref="G4:G12" si="0">ROUND(G$3*E4/E$13,2)</f>
        <v>699.63</v>
      </c>
      <c r="H4" s="2">
        <f t="shared" ref="H4:H12" si="1">ROUND(H$3*E4/E$13,2)</f>
        <v>8.09</v>
      </c>
      <c r="I4" s="2">
        <f t="shared" ref="I4:I12" si="2">ROUND(I$3*E4/E$13,2)</f>
        <v>0</v>
      </c>
      <c r="J4" s="2">
        <f t="shared" ref="J4:J12" si="3">ROUND(J$3*E4/E$13,2)</f>
        <v>0</v>
      </c>
      <c r="K4">
        <f>C4</f>
        <v>96.8</v>
      </c>
      <c r="L4" s="2">
        <f>ROUND((E4+F4+G4+H4+I4+J4)/K4,2)</f>
        <v>23.06</v>
      </c>
      <c r="M4" s="2">
        <f>ROUND(K4*L4,2)</f>
        <v>2232.21</v>
      </c>
      <c r="O4" s="2"/>
      <c r="P4" s="2"/>
      <c r="Q4" s="2"/>
    </row>
    <row r="5" spans="1:17" ht="25.5" x14ac:dyDescent="0.2">
      <c r="A5" s="18">
        <v>819261610113</v>
      </c>
      <c r="B5" s="17" t="s">
        <v>19</v>
      </c>
      <c r="C5" s="14">
        <v>18.75</v>
      </c>
      <c r="D5" s="15">
        <v>13</v>
      </c>
      <c r="E5" s="2">
        <f t="shared" ref="E5:E12" si="4">C5*D5</f>
        <v>243.75</v>
      </c>
      <c r="F5" s="2">
        <f t="shared" ref="F5:F12" si="5">ROUND(E5*F$3,2)</f>
        <v>12.19</v>
      </c>
      <c r="G5" s="2">
        <f t="shared" si="0"/>
        <v>117.45</v>
      </c>
      <c r="H5" s="2">
        <f t="shared" si="1"/>
        <v>1.36</v>
      </c>
      <c r="I5" s="2">
        <f t="shared" si="2"/>
        <v>0</v>
      </c>
      <c r="J5" s="2">
        <f t="shared" si="3"/>
        <v>0</v>
      </c>
      <c r="K5">
        <f t="shared" ref="K5:K12" si="6">C5</f>
        <v>18.75</v>
      </c>
      <c r="L5" s="2">
        <f t="shared" ref="L5:L7" si="7">ROUND((E5+F5+G5+H5+I5+J5)/K5,2)</f>
        <v>19.989999999999998</v>
      </c>
      <c r="M5" s="2">
        <f t="shared" ref="M5:M12" si="8">ROUND(K5*L5,2)</f>
        <v>374.81</v>
      </c>
    </row>
    <row r="6" spans="1:17" x14ac:dyDescent="0.2">
      <c r="A6" s="18">
        <v>821042123112</v>
      </c>
      <c r="B6" s="17" t="s">
        <v>22</v>
      </c>
      <c r="C6" s="14">
        <v>29</v>
      </c>
      <c r="D6" s="15">
        <v>8</v>
      </c>
      <c r="E6" s="2">
        <f t="shared" si="4"/>
        <v>232</v>
      </c>
      <c r="F6" s="2">
        <f t="shared" si="5"/>
        <v>11.6</v>
      </c>
      <c r="G6" s="2">
        <f t="shared" si="0"/>
        <v>111.79</v>
      </c>
      <c r="H6" s="2">
        <f t="shared" si="1"/>
        <v>1.29</v>
      </c>
      <c r="I6" s="2">
        <f t="shared" si="2"/>
        <v>0</v>
      </c>
      <c r="J6" s="2">
        <f t="shared" si="3"/>
        <v>0</v>
      </c>
      <c r="K6">
        <f t="shared" si="6"/>
        <v>29</v>
      </c>
      <c r="L6" s="2">
        <f t="shared" si="7"/>
        <v>12.3</v>
      </c>
      <c r="M6" s="2">
        <f t="shared" si="8"/>
        <v>356.7</v>
      </c>
    </row>
    <row r="7" spans="1:17" x14ac:dyDescent="0.2">
      <c r="A7" s="18">
        <v>818229471013</v>
      </c>
      <c r="B7" s="13" t="s">
        <v>20</v>
      </c>
      <c r="C7" s="14">
        <v>60</v>
      </c>
      <c r="D7" s="15">
        <v>23.5</v>
      </c>
      <c r="E7" s="2">
        <f t="shared" si="4"/>
        <v>1410</v>
      </c>
      <c r="F7" s="2">
        <f t="shared" si="5"/>
        <v>70.5</v>
      </c>
      <c r="G7" s="2">
        <f t="shared" si="0"/>
        <v>679.39</v>
      </c>
      <c r="H7" s="2">
        <f t="shared" si="1"/>
        <v>7.85</v>
      </c>
      <c r="I7" s="2">
        <f t="shared" si="2"/>
        <v>0</v>
      </c>
      <c r="J7" s="2">
        <f t="shared" si="3"/>
        <v>0</v>
      </c>
      <c r="K7">
        <f t="shared" si="6"/>
        <v>60</v>
      </c>
      <c r="L7" s="2">
        <f t="shared" si="7"/>
        <v>36.130000000000003</v>
      </c>
      <c r="M7" s="2">
        <f t="shared" si="8"/>
        <v>2167.8000000000002</v>
      </c>
    </row>
    <row r="8" spans="1:17" x14ac:dyDescent="0.2">
      <c r="A8" s="18">
        <v>819242510413</v>
      </c>
      <c r="B8" s="13" t="s">
        <v>21</v>
      </c>
      <c r="C8" s="14">
        <v>170</v>
      </c>
      <c r="D8" s="15">
        <v>2</v>
      </c>
      <c r="E8" s="2">
        <f t="shared" si="4"/>
        <v>340</v>
      </c>
      <c r="F8" s="2">
        <f t="shared" si="5"/>
        <v>17</v>
      </c>
      <c r="G8" s="2">
        <f t="shared" si="0"/>
        <v>163.82</v>
      </c>
      <c r="H8" s="2">
        <f t="shared" si="1"/>
        <v>1.89</v>
      </c>
      <c r="I8" s="2">
        <f t="shared" si="2"/>
        <v>0</v>
      </c>
      <c r="J8" s="2">
        <f t="shared" si="3"/>
        <v>0</v>
      </c>
      <c r="K8">
        <f t="shared" si="6"/>
        <v>170</v>
      </c>
      <c r="L8" s="2">
        <v>3.12</v>
      </c>
      <c r="M8" s="2">
        <f t="shared" si="8"/>
        <v>530.4</v>
      </c>
      <c r="N8">
        <f>ROUND((E8+F8+G8+H8+I8+J8)/K8,2)</f>
        <v>3.07</v>
      </c>
    </row>
    <row r="9" spans="1:17" ht="12.75" customHeight="1" x14ac:dyDescent="0.2">
      <c r="A9" s="18">
        <v>810042122812</v>
      </c>
      <c r="B9" s="13" t="s">
        <v>23</v>
      </c>
      <c r="C9" s="14">
        <v>315</v>
      </c>
      <c r="D9" s="15">
        <v>12</v>
      </c>
      <c r="E9" s="2">
        <f t="shared" si="4"/>
        <v>3780</v>
      </c>
      <c r="F9" s="2">
        <f t="shared" si="5"/>
        <v>189</v>
      </c>
      <c r="G9" s="2">
        <f t="shared" si="0"/>
        <v>1821.34</v>
      </c>
      <c r="H9" s="2">
        <f t="shared" si="1"/>
        <v>21.05</v>
      </c>
      <c r="I9" s="2">
        <f t="shared" si="2"/>
        <v>0</v>
      </c>
      <c r="J9" s="2">
        <f t="shared" si="3"/>
        <v>0</v>
      </c>
      <c r="K9">
        <f t="shared" si="6"/>
        <v>315</v>
      </c>
      <c r="L9" s="2">
        <f t="shared" ref="L9:L12" si="9">ROUND((E9+F9+G9+H9+I9+J9)/K9,2)</f>
        <v>18.45</v>
      </c>
      <c r="M9" s="2">
        <f t="shared" si="8"/>
        <v>5811.75</v>
      </c>
    </row>
    <row r="10" spans="1:17" x14ac:dyDescent="0.2">
      <c r="A10" s="18">
        <v>818211100013</v>
      </c>
      <c r="B10" s="13" t="s">
        <v>24</v>
      </c>
      <c r="C10" s="13">
        <v>52.344000000000001</v>
      </c>
      <c r="D10" s="16">
        <v>9</v>
      </c>
      <c r="E10" s="2">
        <f t="shared" si="4"/>
        <v>471.096</v>
      </c>
      <c r="F10" s="2">
        <f t="shared" si="5"/>
        <v>23.55</v>
      </c>
      <c r="G10" s="2">
        <f t="shared" si="0"/>
        <v>226.99</v>
      </c>
      <c r="H10" s="2">
        <f t="shared" si="1"/>
        <v>2.62</v>
      </c>
      <c r="I10" s="2">
        <f t="shared" si="2"/>
        <v>0</v>
      </c>
      <c r="J10" s="2">
        <f t="shared" si="3"/>
        <v>0</v>
      </c>
      <c r="K10">
        <f t="shared" si="6"/>
        <v>52.344000000000001</v>
      </c>
      <c r="L10" s="2">
        <f t="shared" si="9"/>
        <v>13.84</v>
      </c>
      <c r="M10" s="2">
        <f t="shared" si="8"/>
        <v>724.44</v>
      </c>
    </row>
    <row r="11" spans="1:17" ht="25.5" x14ac:dyDescent="0.2">
      <c r="A11" s="18">
        <v>818292112112</v>
      </c>
      <c r="B11" s="17" t="s">
        <v>25</v>
      </c>
      <c r="C11" s="14">
        <v>490.40300000000002</v>
      </c>
      <c r="D11" s="15">
        <v>15</v>
      </c>
      <c r="E11" s="2">
        <f t="shared" si="4"/>
        <v>7356.0450000000001</v>
      </c>
      <c r="F11" s="2">
        <f t="shared" si="5"/>
        <v>367.8</v>
      </c>
      <c r="G11" s="2">
        <f t="shared" si="0"/>
        <v>3544.41</v>
      </c>
      <c r="H11" s="2">
        <f t="shared" si="1"/>
        <v>40.97</v>
      </c>
      <c r="I11" s="2">
        <f t="shared" si="2"/>
        <v>0</v>
      </c>
      <c r="J11" s="2">
        <f t="shared" si="3"/>
        <v>0</v>
      </c>
      <c r="K11">
        <f t="shared" si="6"/>
        <v>490.40300000000002</v>
      </c>
      <c r="L11" s="2">
        <f t="shared" si="9"/>
        <v>23.06</v>
      </c>
      <c r="M11" s="2">
        <f t="shared" si="8"/>
        <v>11308.69</v>
      </c>
    </row>
    <row r="12" spans="1:17" ht="25.5" x14ac:dyDescent="0.2">
      <c r="A12" s="18">
        <v>818292112112</v>
      </c>
      <c r="B12" s="17" t="s">
        <v>25</v>
      </c>
      <c r="C12" s="14">
        <v>2280</v>
      </c>
      <c r="D12" s="15">
        <v>10.5</v>
      </c>
      <c r="E12" s="2">
        <f t="shared" si="4"/>
        <v>23940</v>
      </c>
      <c r="F12" s="2">
        <f t="shared" si="5"/>
        <v>1197</v>
      </c>
      <c r="G12" s="2">
        <f t="shared" si="0"/>
        <v>11535.18</v>
      </c>
      <c r="H12" s="2">
        <f t="shared" si="1"/>
        <v>133.33000000000001</v>
      </c>
      <c r="I12" s="2">
        <f t="shared" si="2"/>
        <v>0</v>
      </c>
      <c r="J12" s="2">
        <f t="shared" si="3"/>
        <v>0</v>
      </c>
      <c r="K12">
        <f t="shared" si="6"/>
        <v>2280</v>
      </c>
      <c r="L12" s="2">
        <f t="shared" si="9"/>
        <v>16.14</v>
      </c>
      <c r="M12" s="2">
        <f t="shared" si="8"/>
        <v>36799.199999999997</v>
      </c>
    </row>
    <row r="13" spans="1:17" x14ac:dyDescent="0.2">
      <c r="A13" s="1" t="s">
        <v>10</v>
      </c>
      <c r="B13" s="1"/>
      <c r="C13" s="3">
        <f>SUM(C4:C12)</f>
        <v>3512.297</v>
      </c>
      <c r="D13" s="3"/>
      <c r="E13" s="3">
        <f t="shared" ref="E13:K13" si="10">SUM(E4:E12)</f>
        <v>39224.891000000003</v>
      </c>
      <c r="F13" s="3">
        <f t="shared" si="10"/>
        <v>1961.24</v>
      </c>
      <c r="G13" s="3">
        <f t="shared" si="10"/>
        <v>18900</v>
      </c>
      <c r="H13" s="3">
        <f t="shared" si="10"/>
        <v>218.45000000000002</v>
      </c>
      <c r="I13" s="3">
        <f t="shared" si="10"/>
        <v>0</v>
      </c>
      <c r="J13" s="3">
        <f t="shared" si="10"/>
        <v>0</v>
      </c>
      <c r="K13" s="3">
        <f t="shared" si="10"/>
        <v>3512.297</v>
      </c>
      <c r="L13" s="3"/>
      <c r="M13" s="3">
        <f>SUM(M4:M12)</f>
        <v>60306</v>
      </c>
      <c r="O13" s="6"/>
    </row>
    <row r="15" spans="1:17" outlineLevel="1" x14ac:dyDescent="0.2">
      <c r="A15" s="6" t="s">
        <v>14</v>
      </c>
      <c r="E15" s="22">
        <f>E13+F13+G13+H13+I13</f>
        <v>60304.580999999998</v>
      </c>
      <c r="F15" s="22"/>
      <c r="G15" s="22"/>
      <c r="H15" s="22"/>
      <c r="I15" s="22"/>
      <c r="J15" s="22"/>
    </row>
    <row r="16" spans="1:17" outlineLevel="1" x14ac:dyDescent="0.2">
      <c r="A16" s="6" t="s">
        <v>15</v>
      </c>
      <c r="M16" s="7">
        <f>M13-E15</f>
        <v>1.419000000001688</v>
      </c>
    </row>
    <row r="18" spans="13:15" x14ac:dyDescent="0.2">
      <c r="M18">
        <f>M13/3</f>
        <v>20102</v>
      </c>
      <c r="O18" s="6"/>
    </row>
  </sheetData>
  <mergeCells count="9">
    <mergeCell ref="A2:A3"/>
    <mergeCell ref="F1:J1"/>
    <mergeCell ref="C1:E2"/>
    <mergeCell ref="E15:J15"/>
    <mergeCell ref="K1:M1"/>
    <mergeCell ref="K2:K3"/>
    <mergeCell ref="L2:L3"/>
    <mergeCell ref="M2:M3"/>
    <mergeCell ref="B2:B3"/>
  </mergeCells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HP</cp:lastModifiedBy>
  <cp:revision>1</cp:revision>
  <dcterms:created xsi:type="dcterms:W3CDTF">2022-05-26T14:16:47Z</dcterms:created>
  <dcterms:modified xsi:type="dcterms:W3CDTF">2022-10-19T08:07:16Z</dcterms:modified>
</cp:coreProperties>
</file>